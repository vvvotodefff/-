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ol.elita\Spec\.CADAutomation\ЗадачиНаВыполнение\"/>
    </mc:Choice>
  </mc:AlternateContent>
  <bookViews>
    <workbookView xWindow="38160" yWindow="420" windowWidth="38640" windowHeight="20925"/>
  </bookViews>
  <sheets>
    <sheet name="Лист1" sheetId="1" r:id="rId1"/>
  </sheets>
  <definedNames>
    <definedName name="Family">Лист1!$A$2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V3" i="1" l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FE3" i="1"/>
</calcChain>
</file>

<file path=xl/sharedStrings.xml><?xml version="1.0" encoding="utf-8"?>
<sst xmlns="http://schemas.openxmlformats.org/spreadsheetml/2006/main" count="597" uniqueCount="235">
  <si>
    <t>Таблица параметров для: MLVФ</t>
  </si>
  <si>
    <t/>
  </si>
  <si>
    <t>Установка</t>
  </si>
  <si>
    <t>База</t>
  </si>
  <si>
    <t>$КОНФИГУРАЦИЯ@MLV&lt;1&gt;</t>
  </si>
  <si>
    <t>124221</t>
  </si>
  <si>
    <t>124599</t>
  </si>
  <si>
    <t>$КОНФИГУРАЦИЯ@Затвор&lt;1&gt;</t>
  </si>
  <si>
    <t>DN80</t>
  </si>
  <si>
    <t>DN200</t>
  </si>
  <si>
    <t>$КОНФИГУРАЦИЯ@Фланец&lt;6&gt;</t>
  </si>
  <si>
    <t>$КОНФИГУРАЦИЯ@Фланец&lt;5&gt;</t>
  </si>
  <si>
    <t>D3@Местный линейный массив1</t>
  </si>
  <si>
    <t>600</t>
  </si>
  <si>
    <t>700</t>
  </si>
  <si>
    <t>D1@Местный линейный массив1</t>
  </si>
  <si>
    <t>2</t>
  </si>
  <si>
    <t>D1@ПЛОСКОСТЬ7</t>
  </si>
  <si>
    <t>1154</t>
  </si>
  <si>
    <t>1340</t>
  </si>
  <si>
    <t>D1@ПЛОСКОСТЬ5</t>
  </si>
  <si>
    <t>D1@ПЛОСКОСТЬ10</t>
  </si>
  <si>
    <t>260</t>
  </si>
  <si>
    <t>320</t>
  </si>
  <si>
    <t>D1@Расстояние2</t>
  </si>
  <si>
    <t>1225</t>
  </si>
  <si>
    <t>1598</t>
  </si>
  <si>
    <t>$СОСТОЯНИЕ@ФланецРеле&lt;1&gt;</t>
  </si>
  <si>
    <t>Пог</t>
  </si>
  <si>
    <t>$СОСТОЯНИЕ@Затвор&lt;5&gt;</t>
  </si>
  <si>
    <t>Реш</t>
  </si>
  <si>
    <t>$СОСТОЯНИЕ@Датчик&lt;2&gt;</t>
  </si>
  <si>
    <t>$СОСТОЯНИЕ@Датчик&lt;4&gt;</t>
  </si>
  <si>
    <t>$СОСТОЯНИЕ@КранМанометр&lt;4&gt;</t>
  </si>
  <si>
    <t>$СОСТОЯНИЕ@Датчик&lt;5&gt;</t>
  </si>
  <si>
    <t>$СОСТОЯНИЕ@Реле&lt;1&gt;</t>
  </si>
  <si>
    <t>$СОСТОЯНИЕ@КранDN20&lt;1&gt;</t>
  </si>
  <si>
    <t>$СОСТОЯНИЕ@КранДатчик&lt;1&gt;</t>
  </si>
  <si>
    <t>$СОСТОЯНИЕ@Датчик&lt;6&gt;</t>
  </si>
  <si>
    <t>$СОСТОЯНИЕ@Гидроаккумулятор&lt;1&gt;</t>
  </si>
  <si>
    <t>$КОНФИГУРАЦИЯ@Гидроаккумулятор&lt;1&gt;</t>
  </si>
  <si>
    <t>8л</t>
  </si>
  <si>
    <t>$СОСТОЯНИЕ@Гидроаккумулятор&lt;2&gt;</t>
  </si>
  <si>
    <t>$КОНФИГУРАЦИЯ@Гидроаккумулятор&lt;2&gt;</t>
  </si>
  <si>
    <t>$СОСТОЯНИЕ@РамаШВ^MLVФ&lt;2&gt;</t>
  </si>
  <si>
    <t>D1@ПЛОСКОСТЬ18</t>
  </si>
  <si>
    <t>277</t>
  </si>
  <si>
    <t>500</t>
  </si>
  <si>
    <t>D1@ПЛОСКОСТЬ17</t>
  </si>
  <si>
    <t>877</t>
  </si>
  <si>
    <t>$СОСТОЯНИЕ@MLV&lt;8&gt;</t>
  </si>
  <si>
    <t>$КОНФИГУРАЦИЯ@MLV&lt;8&gt;</t>
  </si>
  <si>
    <t>061260</t>
  </si>
  <si>
    <t>548218</t>
  </si>
  <si>
    <t>$КОНФИГУРАЦИЯ@ПереходЖокейMLV&lt;1&gt;</t>
  </si>
  <si>
    <t>DN32</t>
  </si>
  <si>
    <t>DN25</t>
  </si>
  <si>
    <t>$СОСТОЯНИЕ@MLH&lt;1&gt;</t>
  </si>
  <si>
    <t>$КОНФИГУРАЦИЯ@MLH&lt;1&gt;</t>
  </si>
  <si>
    <t>648418</t>
  </si>
  <si>
    <t>804009</t>
  </si>
  <si>
    <t>$КОНФИГУРАЦИЯ@ПереходЖокейMLH&lt;1&gt;</t>
  </si>
  <si>
    <t>$СОСТОЯНИЕ@Бак&lt;1&gt;</t>
  </si>
  <si>
    <t>$КОНФИГУРАЦИЯ@Бак&lt;1&gt;</t>
  </si>
  <si>
    <t>50л</t>
  </si>
  <si>
    <t>$СОСТОЯНИЕ@ШУ&lt;1&gt;</t>
  </si>
  <si>
    <t>$КОНФИГУРАЦИЯ@ШУ&lt;1&gt;</t>
  </si>
  <si>
    <t>800х1000х300</t>
  </si>
  <si>
    <t>800х600х250</t>
  </si>
  <si>
    <t>$СОСТОЯНИЕ@Антена&lt;1&gt;</t>
  </si>
  <si>
    <t>$СОСТОЯНИЕ@ПанельMD&lt;2&gt;</t>
  </si>
  <si>
    <t>D1@ПЛОСКОСТЬ22</t>
  </si>
  <si>
    <t>0</t>
  </si>
  <si>
    <t>1711</t>
  </si>
  <si>
    <t>D1@Расстояние31</t>
  </si>
  <si>
    <t>68</t>
  </si>
  <si>
    <t>93</t>
  </si>
  <si>
    <t>$СВОЙСТВО@Масса_ФБ</t>
  </si>
  <si>
    <t>798</t>
  </si>
  <si>
    <t>1720</t>
  </si>
  <si>
    <t>$СВОЙСТВО@Наименование_У</t>
  </si>
  <si>
    <t>Установка пожаротушения. ANTARUS 2 MLV45-5-2/01/DS2 (ОПЦ "Лидер", КВ0, RS-485, PN16/25)</t>
  </si>
  <si>
    <t xml:space="preserve">Установка пожаротушения. ANTARUS </t>
  </si>
  <si>
    <t>D1@Местный линейный массив5</t>
  </si>
  <si>
    <t>D1@Местный линейный массив6</t>
  </si>
  <si>
    <t>$СВОЙСТВО@Габарит</t>
  </si>
  <si>
    <t>1831</t>
  </si>
  <si>
    <t>2234</t>
  </si>
  <si>
    <t>$СВОЙСТВО@Код_Станции</t>
  </si>
  <si>
    <t>995299</t>
  </si>
  <si>
    <t>593320</t>
  </si>
  <si>
    <t>$СВОЙСТВО@ПутьДляСохранения</t>
  </si>
  <si>
    <t>\\sol.elita\Spec\.CADAutomation\Модели\995299</t>
  </si>
  <si>
    <t>\\sol.elita\Spec</t>
  </si>
  <si>
    <t>$СОСТОЯНИЕ@Компенсатор&lt;1&gt;</t>
  </si>
  <si>
    <t>$СОСТОЯНИЕ@НиппельDN25&lt;1&gt;</t>
  </si>
  <si>
    <t>$СОСТОЯНИЕ@Гидроаккумулятор&lt;3&gt;</t>
  </si>
  <si>
    <t>$КОНФИГУРАЦИЯ@Гидроаккумулятор&lt;3&gt;</t>
  </si>
  <si>
    <t>12л</t>
  </si>
  <si>
    <t>D1@Местный линейный массив9</t>
  </si>
  <si>
    <t>$Конфигурация@СтойкаШУ&lt;1&gt;</t>
  </si>
  <si>
    <t>1700</t>
  </si>
  <si>
    <t>1500</t>
  </si>
  <si>
    <t>D1@ПЛОСКОСТЬ1</t>
  </si>
  <si>
    <t>220</t>
  </si>
  <si>
    <t>270</t>
  </si>
  <si>
    <t>D1@ПЛОСКОСТЬ2</t>
  </si>
  <si>
    <t>D1@ПЛОСКОСТЬ11</t>
  </si>
  <si>
    <t>130</t>
  </si>
  <si>
    <t>115</t>
  </si>
  <si>
    <t>D1@ПЛОСКОСТЬ12</t>
  </si>
  <si>
    <t>$СОСТОЯНИЕ@МуфтаНР&lt;1&gt;</t>
  </si>
  <si>
    <t>$СОСТОЯНИЕ@Воротник&lt;35&gt;</t>
  </si>
  <si>
    <t>$СОСТОЯНИЕ@ЗеркальныйКомпонент6</t>
  </si>
  <si>
    <t>Непог</t>
  </si>
  <si>
    <t>$КОНФИГУРАЦИЯ@ПанельMD&lt;2&gt;</t>
  </si>
  <si>
    <t>$Конфигурация@СтойкаШУ&lt;2&gt;</t>
  </si>
  <si>
    <t>$Состояние@СтойкаЛеваяMD&lt;1&gt;</t>
  </si>
  <si>
    <t>$Состояние@СтойкаПраваяMD&lt;1&gt;</t>
  </si>
  <si>
    <t>D1@Местный линейный массив2</t>
  </si>
  <si>
    <t>D3@Местный линейный массив2</t>
  </si>
  <si>
    <t>D1@ПЛОСКОСТЬ3</t>
  </si>
  <si>
    <t>D1@ПЛОСКОСТЬ4</t>
  </si>
  <si>
    <t>D1@ПЛОСКОСТЬ9</t>
  </si>
  <si>
    <t>350</t>
  </si>
  <si>
    <t>$КОНФИГУРАЦИЯ@Воротник&lt;1&gt;</t>
  </si>
  <si>
    <t>$КОНФИГУРАЦИЯ@Воротник&lt;2&gt;</t>
  </si>
  <si>
    <t>$КОНФИГУРАЦИЯ@Воротник&lt;3&gt;</t>
  </si>
  <si>
    <t>$КОНФИГУРАЦИЯ@Воротник&lt;4&gt;</t>
  </si>
  <si>
    <t>$КОНФИГУРАЦИЯ@Фланец&lt;1&gt;</t>
  </si>
  <si>
    <t>$КОНФИГУРАЦИЯ@Фланец&lt;2&gt;</t>
  </si>
  <si>
    <t>$КОНФИГУРАЦИЯ@Фланец&lt;3&gt;</t>
  </si>
  <si>
    <t>$КОНФИГУРАЦИЯ@Фланец&lt;4&gt;</t>
  </si>
  <si>
    <t>$КОНФИГУРАЦИЯ@Затвор&lt;2&gt;</t>
  </si>
  <si>
    <t>$КОНФИГУРАЦИЯ@ОбратныйКлапан&lt;1&gt;</t>
  </si>
  <si>
    <t>$КОНФИГУРАЦИЯ@ФланецРеле&lt;1&gt;</t>
  </si>
  <si>
    <t>$КОНФИГУРАЦИЯ@Воротник&lt;5&gt;</t>
  </si>
  <si>
    <t>$КОНФИГУРАЦИЯ@Затвор&lt;5&gt;</t>
  </si>
  <si>
    <t>$КОНФИГУРАЦИЯ@Воротник&lt;13&gt;</t>
  </si>
  <si>
    <t>$КОНФИГУРАЦИЯ@Фланец&lt;13&gt;</t>
  </si>
  <si>
    <t>$КОНФИГУРАЦИЯ@Воротник&lt;6&gt;</t>
  </si>
  <si>
    <t>$КОНФИГУРАЦИЯ@Затвор&lt;6&gt;</t>
  </si>
  <si>
    <t>$КОНФИГУРАЦИЯ@Воротник&lt;15&gt;</t>
  </si>
  <si>
    <t>$КОНФИГУРАЦИЯ@Фланец&lt;15&gt;</t>
  </si>
  <si>
    <t>$СОСТОЯНИЕ@Воротник&lt;13&gt;</t>
  </si>
  <si>
    <t>$СОСТОЯНИЕ@Фланец&lt;13&gt;</t>
  </si>
  <si>
    <t>$СОСТОЯНИЕ@ЗеркальныйКомпонент3</t>
  </si>
  <si>
    <t>$СОСТОЯНИЕ@Воротник&lt;15&gt;</t>
  </si>
  <si>
    <t>$СОСТОЯНИЕ@Фланец&lt;15&gt;</t>
  </si>
  <si>
    <t>$СОСТОЯНИЕ@ЗеркальныйКомпонент4</t>
  </si>
  <si>
    <t>$СОСТОЯНИЕ@Затвор&lt;6&gt;</t>
  </si>
  <si>
    <t>$СОСТОЯНИЕ@Местный линейный массив3</t>
  </si>
  <si>
    <t>D1@Местный линейный массив3</t>
  </si>
  <si>
    <t>1</t>
  </si>
  <si>
    <t>D3@Местный линейный массив3</t>
  </si>
  <si>
    <t>$СОСТОЯНИЕ@Местный линейный массив2</t>
  </si>
  <si>
    <t>$СОСТОЯНИЕ@НиппельDN15L75&lt;1&gt;</t>
  </si>
  <si>
    <t>$СОСТОЯНИЕ@НиппельDN15L75&lt;2&gt;</t>
  </si>
  <si>
    <t>$СОСТОЯНИЕ@КранМанометр&lt;1&gt;</t>
  </si>
  <si>
    <t>$СОСТОЯНИЕ@КранМанометрВперед&lt;1&gt;</t>
  </si>
  <si>
    <t>$КОНФИГУРАЦИЯ@НиппельDN15L75&lt;1&gt;</t>
  </si>
  <si>
    <t>$КОНФИГУРАЦИЯ@НиппельDN15L75&lt;2&gt;</t>
  </si>
  <si>
    <t>$СОСТОЯНИЕ@Датчик&lt;1&gt;</t>
  </si>
  <si>
    <t>$СОСТОЯНИЕ@Датчик&lt;3&gt;</t>
  </si>
  <si>
    <t>D1@Местный линейный массив4</t>
  </si>
  <si>
    <t>D3@Местный линейный массив4</t>
  </si>
  <si>
    <t>D3@Местный линейный массив5</t>
  </si>
  <si>
    <t>D3@Местный линейный массив6</t>
  </si>
  <si>
    <t>$СОСТОЯНИЕ@Местный линейный массив4</t>
  </si>
  <si>
    <t>$КОНФИГУРАЦИЯ@НиппельDN15&lt;1&gt;</t>
  </si>
  <si>
    <t>$КОНФИГУРАЦИЯ@НиппельDN15&lt;2&gt;</t>
  </si>
  <si>
    <t>$КОНФИГУРАЦИЯ@НиппельDN15&lt;3&gt;</t>
  </si>
  <si>
    <t>$КОНФИГУРАЦИЯ@НиппельDN20&lt;1&gt;</t>
  </si>
  <si>
    <t>$СОСТОЯНИЕ@НиппельDN15&lt;1&gt;</t>
  </si>
  <si>
    <t>$СОСТОЯНИЕ@НиппельDN15&lt;2&gt;</t>
  </si>
  <si>
    <t>$СОСТОЯНИЕ@НиппельDN15&lt;3&gt;</t>
  </si>
  <si>
    <t>$СОСТОЯНИЕ@НиппельDN20&lt;1&gt;</t>
  </si>
  <si>
    <t>$СОСТОЯНИЕ@КранМанометрВперед&lt;4&gt;</t>
  </si>
  <si>
    <t>$СОСТОЯНИЕ@ПереходДляБака&lt;1&gt;</t>
  </si>
  <si>
    <t>$КОНФИГУРАЦИЯ@Воротник&lt;33&gt;</t>
  </si>
  <si>
    <t>$КОНФИГУРАЦИЯ@Фланец&lt;33&gt;</t>
  </si>
  <si>
    <t>$КОНФИГУРАЦИЯ@Воротник&lt;35&gt;</t>
  </si>
  <si>
    <t>$КОНФИГУРАЦИЯ@Фланец&lt;35&gt;</t>
  </si>
  <si>
    <t>$СОСТОЯНИЕ@Воротник&lt;33&gt;</t>
  </si>
  <si>
    <t>$СОСТОЯНИЕ@Фланец&lt;33&gt;</t>
  </si>
  <si>
    <t>$СОСТОЯНИЕ@Фланец&lt;35&gt;</t>
  </si>
  <si>
    <t>$СОСТОЯНИЕ@ЗеркальныйКомпонент5</t>
  </si>
  <si>
    <t>$СОСТОЯНИЕ@ТрубаКНЖ^MLVФ&lt;1&gt;</t>
  </si>
  <si>
    <t>$СОСТОЯНИЕ@ТрубаКВЖ^MLVФ&lt;1&gt;</t>
  </si>
  <si>
    <t>$СОСТОЯНИЕ@ТрубаНиппельКНЖ^MLVФ&lt;1&gt;</t>
  </si>
  <si>
    <t>$СОСТОЯНИЕ@ТрубаНиппельКВЖ^MLVФ&lt;1&gt;</t>
  </si>
  <si>
    <t>$СОСТОЯНИЕ@МуфтаНР&lt;2&gt;</t>
  </si>
  <si>
    <t>$СОСТОЯНИЕ@МуфтаНР&lt;4&gt;</t>
  </si>
  <si>
    <t>$СОСТОЯНИЕ@МуфтаНР&lt;3&gt;</t>
  </si>
  <si>
    <t>$СОСТОЯНИЕ@ТрубаНиппельКН^MLVФ&lt;1&gt;</t>
  </si>
  <si>
    <t>$СОСТОЯНИЕ@ТрубаНиппельКВ^MLVФ&lt;1&gt;</t>
  </si>
  <si>
    <t>$СОСТОЯНИЕ@РамаШВЖокей^MLVФ&lt;1&gt;</t>
  </si>
  <si>
    <t>$СОСТОЯНИЕ@ПереходЖокейMLV&lt;1&gt;</t>
  </si>
  <si>
    <t>$СОСТОЯНИЕ@ПереходЖокейВсасMLV&lt;1&gt;</t>
  </si>
  <si>
    <t>$КОНФИГУРАЦИЯ@ПереходЖокейВсасMLV&lt;1&gt;</t>
  </si>
  <si>
    <t>D1@Расстояние13</t>
  </si>
  <si>
    <t>495</t>
  </si>
  <si>
    <t>D1@Расстояние18</t>
  </si>
  <si>
    <t>$СОСТОЯНИЕ@ПереходЖокейMLH&lt;1&gt;</t>
  </si>
  <si>
    <t>$СОСТОЯНИЕ@ПереходЖокейВсасMLH&lt;1&gt;</t>
  </si>
  <si>
    <t>$КОНФИГУРАЦИЯ@ПереходЖокейВсасMLH&lt;1&gt;</t>
  </si>
  <si>
    <t>$СОСТОЯНИЕ@СтойкаШУ&lt;1&gt;</t>
  </si>
  <si>
    <t>$СОСТОЯНИЕ@СтойкаШУ&lt;2&gt;</t>
  </si>
  <si>
    <t>$СОСТОЯНИЕ@Перекладина^MLVФ&lt;1&gt;</t>
  </si>
  <si>
    <t>$СОСТОЯНИЕ@Перекладина^MLVФ&lt;2&gt;</t>
  </si>
  <si>
    <t>D1@Расстояние50</t>
  </si>
  <si>
    <t>670</t>
  </si>
  <si>
    <t>D1@Расстояние28</t>
  </si>
  <si>
    <t>$СВОЙСТВО@Вид_Станции</t>
  </si>
  <si>
    <t>Установка пожаротушения</t>
  </si>
  <si>
    <t>$СВОЙСТВО@Наименование_Станции</t>
  </si>
  <si>
    <t xml:space="preserve"> ANTARUS</t>
  </si>
  <si>
    <t>$СВОЙСТВО@Названиедлясохранения</t>
  </si>
  <si>
    <t>$КОНФИГУРАЦИЯ@Компенсатор&lt;1&gt;</t>
  </si>
  <si>
    <t>$КОНФИГУРАЦИЯ@Компенсатор&lt;2&gt;</t>
  </si>
  <si>
    <t>$КОНФИГУРАЦИЯ@НиппельDN25&lt;1&gt;</t>
  </si>
  <si>
    <t>$КОНФИГУРАЦИЯ@НиппельDN25&lt;2&gt;</t>
  </si>
  <si>
    <t>$КОНФИГУРАЦИЯ@НиппельDN15&lt;4&gt;</t>
  </si>
  <si>
    <t>$СОСТОЯНИЕ@Компенсатор&lt;2&gt;</t>
  </si>
  <si>
    <t>$СОСТОЯНИЕ@НиппельDN25&lt;2&gt;</t>
  </si>
  <si>
    <t>$СОСТОЯНИЕ@НиппельDN15&lt;4&gt;</t>
  </si>
  <si>
    <t>$СОСТОЯНИЕ@КранШаровыйDN25&lt;1&gt;</t>
  </si>
  <si>
    <t>$СОСТОЯНИЕ@КранDN15&lt;1&gt;</t>
  </si>
  <si>
    <t>$СОСТОЯНИЕ@ПредохранительныйКлапан&lt;1&gt;</t>
  </si>
  <si>
    <t>$СОСТОЯНИЕ@НиппельDN20&lt;2&gt;</t>
  </si>
  <si>
    <t>$СОСТОЯНИЕ@КранDN20&lt;2&gt;</t>
  </si>
  <si>
    <t>$СОСТОЯНИЕ@ПереходДляБака&lt;2&gt;</t>
  </si>
  <si>
    <t>$СОСТОЯНИЕ@Местный линейный массив9</t>
  </si>
  <si>
    <t>D3@Местный линейный массив9</t>
  </si>
  <si>
    <t>$КОНФИГУРАЦИЯ@НиппельDN20&lt;2&gt;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</si>
</sst>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"/>
  <sheetViews>
    <sheetView tabSelected="1" zoomScale="112" workbookViewId="0">
      <selection activeCell="E11" sqref="E11"/>
    </sheetView>
  </sheetViews>
  <sheetFormatPr defaultRowHeight="15" x14ac:dyDescent="0.25"/>
  <cols>
    <col min="1" max="1" width="30.7109375" style="1" bestFit="1" customWidth="1"/>
    <col min="2" max="2" width="7.42578125" bestFit="1" customWidth="1"/>
    <col min="3" max="5" width="5.85546875" style="3" bestFit="1" customWidth="1"/>
    <col min="6" max="6" width="4.7109375" style="3" bestFit="1" customWidth="1"/>
    <col min="7" max="7" width="4" style="3" bestFit="1" customWidth="1"/>
    <col min="8" max="8" width="4.5703125" style="5" bestFit="1" customWidth="1"/>
    <col min="9" max="10" width="5.85546875" style="4" bestFit="1" customWidth="1"/>
    <col min="11" max="12" width="4.7109375" style="5" bestFit="1" customWidth="1"/>
    <col min="13" max="13" width="4.28515625" style="5" customWidth="1"/>
    <col min="14" max="15" width="4.85546875" style="5" bestFit="1" customWidth="1"/>
    <col min="16" max="16" width="12.28515625" style="5" bestFit="1" customWidth="1"/>
    <col min="17" max="20" width="4.85546875" style="5" bestFit="1" customWidth="1"/>
    <col min="21" max="21" width="4.140625" style="5" bestFit="1" customWidth="1"/>
    <col min="22" max="22" width="5.28515625" style="5" bestFit="1" customWidth="1"/>
    <col min="23" max="24" width="5.28515625" style="5" customWidth="1"/>
    <col min="25" max="25" width="5.85546875" style="5" bestFit="1" customWidth="1"/>
    <col min="26" max="26" width="8" style="5" bestFit="1" customWidth="1"/>
    <col min="27" max="27" width="5.28515625" style="5" customWidth="1"/>
    <col min="28" max="36" width="5.85546875" style="3" customWidth="1"/>
    <col min="37" max="38" width="4.7109375" style="5" bestFit="1" customWidth="1"/>
    <col min="39" max="39" width="5.85546875" style="5" bestFit="1" customWidth="1"/>
    <col min="40" max="42" width="4.85546875" style="5" customWidth="1"/>
    <col min="43" max="43" width="4.85546875" customWidth="1"/>
    <col min="44" max="46" width="4.85546875" style="5" customWidth="1"/>
    <col min="47" max="47" width="5.85546875" style="5" bestFit="1" customWidth="1"/>
    <col min="48" max="48" width="4.7109375" style="5" bestFit="1" customWidth="1"/>
    <col min="49" max="49" width="5.85546875" style="5" bestFit="1" customWidth="1"/>
    <col min="50" max="50" width="4.7109375" bestFit="1" customWidth="1"/>
    <col min="51" max="55" width="5.85546875" style="5" customWidth="1"/>
    <col min="56" max="57" width="3.85546875" style="5" customWidth="1"/>
    <col min="58" max="58" width="4.7109375" style="5" bestFit="1" customWidth="1"/>
    <col min="59" max="62" width="4.85546875" style="5" customWidth="1"/>
    <col min="63" max="63" width="55.7109375" style="5" bestFit="1" customWidth="1"/>
    <col min="64" max="64" width="4.85546875" style="5" customWidth="1"/>
    <col min="66" max="66" width="7.140625" bestFit="1" customWidth="1"/>
  </cols>
  <sheetData>
    <row r="1" spans="1:19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</row>
    <row r="2" spans="1:194" s="2" customFormat="1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11</v>
      </c>
      <c r="F2" s="1" t="s">
        <v>12</v>
      </c>
      <c r="G2" s="1" t="s">
        <v>15</v>
      </c>
      <c r="H2" s="1" t="s">
        <v>17</v>
      </c>
      <c r="I2" s="1" t="s">
        <v>20</v>
      </c>
      <c r="J2" s="1" t="s">
        <v>21</v>
      </c>
      <c r="K2" s="1" t="s">
        <v>24</v>
      </c>
      <c r="L2" s="1" t="s">
        <v>27</v>
      </c>
      <c r="M2" s="1" t="s">
        <v>29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48</v>
      </c>
      <c r="AC2" s="1" t="s">
        <v>50</v>
      </c>
      <c r="AD2" s="1" t="s">
        <v>51</v>
      </c>
      <c r="AE2" s="1" t="s">
        <v>54</v>
      </c>
      <c r="AF2" s="1" t="s">
        <v>57</v>
      </c>
      <c r="AG2" s="1" t="s">
        <v>58</v>
      </c>
      <c r="AH2" s="1" t="s">
        <v>61</v>
      </c>
      <c r="AI2" s="1" t="s">
        <v>62</v>
      </c>
      <c r="AJ2" s="1" t="s">
        <v>63</v>
      </c>
      <c r="AK2" s="1" t="s">
        <v>65</v>
      </c>
      <c r="AL2" s="1" t="s">
        <v>66</v>
      </c>
      <c r="AM2" s="1" t="s">
        <v>69</v>
      </c>
      <c r="AN2" s="1" t="s">
        <v>70</v>
      </c>
      <c r="AO2" s="1" t="s">
        <v>71</v>
      </c>
      <c r="AP2" s="1" t="s">
        <v>74</v>
      </c>
      <c r="AQ2" s="1" t="s">
        <v>77</v>
      </c>
      <c r="AR2" s="1" t="s">
        <v>80</v>
      </c>
      <c r="AS2" s="1" t="s">
        <v>83</v>
      </c>
      <c r="AT2" s="1" t="s">
        <v>84</v>
      </c>
      <c r="AU2" s="1" t="s">
        <v>85</v>
      </c>
      <c r="AV2" s="1" t="s">
        <v>88</v>
      </c>
      <c r="AW2" s="1" t="s">
        <v>91</v>
      </c>
      <c r="AX2" s="1" t="s">
        <v>94</v>
      </c>
      <c r="AY2" s="1" t="s">
        <v>95</v>
      </c>
      <c r="AZ2" s="1" t="s">
        <v>96</v>
      </c>
      <c r="BA2" s="1" t="s">
        <v>97</v>
      </c>
      <c r="BB2" s="1" t="s">
        <v>99</v>
      </c>
      <c r="BC2" s="1" t="s">
        <v>100</v>
      </c>
      <c r="BD2" s="1" t="s">
        <v>103</v>
      </c>
      <c r="BE2" s="1" t="s">
        <v>106</v>
      </c>
      <c r="BF2" s="1" t="s">
        <v>107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115</v>
      </c>
      <c r="BL2" s="1" t="s">
        <v>116</v>
      </c>
      <c r="BM2" s="1" t="s">
        <v>117</v>
      </c>
      <c r="BN2" s="1" t="s">
        <v>118</v>
      </c>
      <c r="BO2" s="1" t="s">
        <v>119</v>
      </c>
      <c r="BP2" s="1" t="s">
        <v>120</v>
      </c>
      <c r="BQ2" s="1" t="s">
        <v>121</v>
      </c>
      <c r="BR2" s="1" t="s">
        <v>122</v>
      </c>
      <c r="BS2" s="1" t="s">
        <v>123</v>
      </c>
      <c r="BT2" s="1" t="s">
        <v>125</v>
      </c>
      <c r="BU2" s="1" t="s">
        <v>126</v>
      </c>
      <c r="BV2" s="1" t="s">
        <v>127</v>
      </c>
      <c r="BW2" s="1" t="s">
        <v>128</v>
      </c>
      <c r="BX2" s="1" t="s">
        <v>129</v>
      </c>
      <c r="BY2" s="1" t="s">
        <v>130</v>
      </c>
      <c r="BZ2" s="1" t="s">
        <v>131</v>
      </c>
      <c r="CA2" s="1" t="s">
        <v>132</v>
      </c>
      <c r="CB2" s="1" t="s">
        <v>133</v>
      </c>
      <c r="CC2" s="1" t="s">
        <v>134</v>
      </c>
      <c r="CD2" s="1" t="s">
        <v>135</v>
      </c>
      <c r="CE2" s="1" t="s">
        <v>136</v>
      </c>
      <c r="CF2" s="1" t="s">
        <v>11</v>
      </c>
      <c r="CG2" s="1" t="s">
        <v>137</v>
      </c>
      <c r="CH2" s="1" t="s">
        <v>138</v>
      </c>
      <c r="CI2" s="1" t="s">
        <v>139</v>
      </c>
      <c r="CJ2" s="1" t="s">
        <v>140</v>
      </c>
      <c r="CK2" s="1" t="s">
        <v>10</v>
      </c>
      <c r="CL2" s="1" t="s">
        <v>141</v>
      </c>
      <c r="CM2" s="1" t="s">
        <v>142</v>
      </c>
      <c r="CN2" s="1" t="s">
        <v>143</v>
      </c>
      <c r="CO2" s="1" t="s">
        <v>144</v>
      </c>
      <c r="CP2" s="1" t="s">
        <v>145</v>
      </c>
      <c r="CQ2" s="1" t="s">
        <v>146</v>
      </c>
      <c r="CR2" s="1" t="s">
        <v>147</v>
      </c>
      <c r="CS2" s="1" t="s">
        <v>148</v>
      </c>
      <c r="CT2" s="1" t="s">
        <v>149</v>
      </c>
      <c r="CU2" s="1" t="s">
        <v>150</v>
      </c>
      <c r="CV2" s="1" t="s">
        <v>151</v>
      </c>
      <c r="CW2" s="1" t="s">
        <v>152</v>
      </c>
      <c r="CX2" s="1" t="s">
        <v>154</v>
      </c>
      <c r="CY2" s="1" t="s">
        <v>155</v>
      </c>
      <c r="CZ2" s="1" t="s">
        <v>156</v>
      </c>
      <c r="DA2" s="1" t="s">
        <v>157</v>
      </c>
      <c r="DB2" s="1" t="s">
        <v>158</v>
      </c>
      <c r="DC2" s="1" t="s">
        <v>159</v>
      </c>
      <c r="DD2" s="1" t="s">
        <v>160</v>
      </c>
      <c r="DE2" s="1" t="s">
        <v>161</v>
      </c>
      <c r="DF2" s="1" t="s">
        <v>162</v>
      </c>
      <c r="DG2" s="1" t="s">
        <v>163</v>
      </c>
      <c r="DH2" s="1" t="s">
        <v>164</v>
      </c>
      <c r="DI2" s="1" t="s">
        <v>165</v>
      </c>
      <c r="DJ2" s="1" t="s">
        <v>166</v>
      </c>
      <c r="DK2" s="1" t="s">
        <v>167</v>
      </c>
      <c r="DL2" s="1" t="s">
        <v>168</v>
      </c>
      <c r="DM2" s="1" t="s">
        <v>169</v>
      </c>
      <c r="DN2" s="1" t="s">
        <v>170</v>
      </c>
      <c r="DO2" s="1" t="s">
        <v>171</v>
      </c>
      <c r="DP2" s="1" t="s">
        <v>172</v>
      </c>
      <c r="DQ2" s="1" t="s">
        <v>173</v>
      </c>
      <c r="DR2" s="1" t="s">
        <v>174</v>
      </c>
      <c r="DS2" s="1" t="s">
        <v>175</v>
      </c>
      <c r="DT2" s="1" t="s">
        <v>176</v>
      </c>
      <c r="DU2" s="1" t="s">
        <v>177</v>
      </c>
      <c r="DV2" s="1" t="s">
        <v>178</v>
      </c>
      <c r="DW2" s="1" t="s">
        <v>179</v>
      </c>
      <c r="DX2" s="1" t="s">
        <v>180</v>
      </c>
      <c r="DY2" s="1" t="s">
        <v>181</v>
      </c>
      <c r="DZ2" s="1" t="s">
        <v>182</v>
      </c>
      <c r="EA2" s="1" t="s">
        <v>183</v>
      </c>
      <c r="EB2" s="1" t="s">
        <v>184</v>
      </c>
      <c r="EC2" s="1" t="s">
        <v>185</v>
      </c>
      <c r="ED2" s="1" t="s">
        <v>186</v>
      </c>
      <c r="EE2" s="1" t="s">
        <v>187</v>
      </c>
      <c r="EF2" s="1" t="s">
        <v>188</v>
      </c>
      <c r="EG2" s="1" t="s">
        <v>189</v>
      </c>
      <c r="EH2" s="1" t="s">
        <v>190</v>
      </c>
      <c r="EI2" s="1" t="s">
        <v>191</v>
      </c>
      <c r="EJ2" s="1" t="s">
        <v>192</v>
      </c>
      <c r="EK2" s="1" t="s">
        <v>193</v>
      </c>
      <c r="EL2" s="1" t="s">
        <v>194</v>
      </c>
      <c r="EM2" s="1" t="s">
        <v>195</v>
      </c>
      <c r="EN2" s="1" t="s">
        <v>196</v>
      </c>
      <c r="EO2" s="1" t="s">
        <v>197</v>
      </c>
      <c r="EP2" s="1" t="s">
        <v>198</v>
      </c>
      <c r="EQ2" s="1" t="s">
        <v>199</v>
      </c>
      <c r="ER2" s="1" t="s">
        <v>200</v>
      </c>
      <c r="ES2" s="1" t="s">
        <v>202</v>
      </c>
      <c r="ET2" s="1" t="s">
        <v>203</v>
      </c>
      <c r="EU2" s="1" t="s">
        <v>204</v>
      </c>
      <c r="EV2" s="1" t="s">
        <v>205</v>
      </c>
      <c r="EW2" s="1" t="s">
        <v>206</v>
      </c>
      <c r="EX2" s="1" t="s">
        <v>207</v>
      </c>
      <c r="EY2" s="1" t="s">
        <v>208</v>
      </c>
      <c r="EZ2" s="1" t="s">
        <v>209</v>
      </c>
      <c r="FA2" s="1" t="s">
        <v>210</v>
      </c>
      <c r="FB2" s="1" t="s">
        <v>212</v>
      </c>
      <c r="FC2" s="1" t="s">
        <v>213</v>
      </c>
      <c r="FD2" s="1" t="s">
        <v>215</v>
      </c>
      <c r="FE2" s="1" t="s">
        <v>217</v>
      </c>
      <c r="FF2" s="1" t="s">
        <v>218</v>
      </c>
      <c r="FG2" s="1" t="s">
        <v>219</v>
      </c>
      <c r="FH2" s="1" t="s">
        <v>220</v>
      </c>
      <c r="FI2" s="1" t="s">
        <v>221</v>
      </c>
      <c r="FJ2" s="1" t="s">
        <v>222</v>
      </c>
      <c r="FK2" s="1" t="s">
        <v>223</v>
      </c>
      <c r="FL2" s="1" t="s">
        <v>224</v>
      </c>
      <c r="FM2" s="1" t="s">
        <v>225</v>
      </c>
      <c r="FN2" s="1" t="s">
        <v>226</v>
      </c>
      <c r="FO2" s="1" t="s">
        <v>227</v>
      </c>
      <c r="FP2" s="1" t="s">
        <v>228</v>
      </c>
      <c r="FQ2" s="1" t="s">
        <v>229</v>
      </c>
      <c r="FR2" s="1" t="s">
        <v>230</v>
      </c>
      <c r="FS2" s="1" t="s">
        <v>231</v>
      </c>
      <c r="FT2" s="1" t="s">
        <v>232</v>
      </c>
      <c r="FU2" s="1" t="s">
        <v>233</v>
      </c>
      <c r="FV2" s="1" t="s">
        <v>234</v>
      </c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</row>
    <row r="3" spans="1:194" x14ac:dyDescent="0.25">
      <c r="A3" s="1" t="s">
        <v>2</v>
      </c>
      <c r="B3" s="1" t="s">
        <v>5</v>
      </c>
      <c r="C3" s="1" t="s">
        <v>8</v>
      </c>
      <c r="D3" s="1" t="s">
        <v>8</v>
      </c>
      <c r="E3" s="1" t="s">
        <v>8</v>
      </c>
      <c r="F3" s="1" t="s">
        <v>13</v>
      </c>
      <c r="G3" s="1" t="s">
        <v>16</v>
      </c>
      <c r="H3" s="1" t="s">
        <v>18</v>
      </c>
      <c r="I3" s="1" t="s">
        <v>18</v>
      </c>
      <c r="J3" s="1" t="s">
        <v>22</v>
      </c>
      <c r="K3" s="1" t="s">
        <v>25</v>
      </c>
      <c r="L3" s="1" t="s">
        <v>28</v>
      </c>
      <c r="M3" s="1" t="s">
        <v>30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41</v>
      </c>
      <c r="X3" s="1" t="s">
        <v>28</v>
      </c>
      <c r="Y3" s="1" t="s">
        <v>41</v>
      </c>
      <c r="Z3" s="1" t="s">
        <v>30</v>
      </c>
      <c r="AA3" s="1" t="s">
        <v>46</v>
      </c>
      <c r="AB3" s="1" t="s">
        <v>49</v>
      </c>
      <c r="AC3" s="1" t="s">
        <v>28</v>
      </c>
      <c r="AD3" s="1" t="s">
        <v>52</v>
      </c>
      <c r="AE3" s="1" t="s">
        <v>55</v>
      </c>
      <c r="AF3" s="1" t="s">
        <v>28</v>
      </c>
      <c r="AG3" s="1" t="s">
        <v>59</v>
      </c>
      <c r="AH3" s="1" t="s">
        <v>55</v>
      </c>
      <c r="AI3" s="1" t="s">
        <v>28</v>
      </c>
      <c r="AJ3" s="1" t="s">
        <v>64</v>
      </c>
      <c r="AK3" s="1" t="s">
        <v>30</v>
      </c>
      <c r="AL3" s="1" t="s">
        <v>67</v>
      </c>
      <c r="AM3" s="1" t="s">
        <v>28</v>
      </c>
      <c r="AN3" s="1" t="s">
        <v>28</v>
      </c>
      <c r="AO3" s="1" t="s">
        <v>72</v>
      </c>
      <c r="AP3" s="1" t="s">
        <v>75</v>
      </c>
      <c r="AQ3" s="1" t="s">
        <v>78</v>
      </c>
      <c r="AR3" s="1" t="s">
        <v>81</v>
      </c>
      <c r="AS3" s="1" t="s">
        <v>16</v>
      </c>
      <c r="AT3" s="1" t="s">
        <v>16</v>
      </c>
      <c r="AU3" s="1" t="s">
        <v>86</v>
      </c>
      <c r="AV3" s="1" t="s">
        <v>89</v>
      </c>
      <c r="AW3" s="1" t="s">
        <v>92</v>
      </c>
      <c r="AX3" s="1" t="s">
        <v>28</v>
      </c>
      <c r="AY3" s="1" t="s">
        <v>28</v>
      </c>
      <c r="AZ3" s="1" t="s">
        <v>28</v>
      </c>
      <c r="BA3" s="1" t="s">
        <v>41</v>
      </c>
      <c r="BB3" s="1" t="s">
        <v>16</v>
      </c>
      <c r="BC3" s="1" t="s">
        <v>101</v>
      </c>
      <c r="BD3" s="1" t="s">
        <v>104</v>
      </c>
      <c r="BE3" s="1" t="s">
        <v>104</v>
      </c>
      <c r="BF3" s="1" t="s">
        <v>108</v>
      </c>
      <c r="BG3" s="1" t="s">
        <v>108</v>
      </c>
      <c r="BH3" s="1" t="s">
        <v>28</v>
      </c>
      <c r="BI3" s="1" t="s">
        <v>28</v>
      </c>
      <c r="BJ3" s="1" t="s">
        <v>28</v>
      </c>
      <c r="BK3" s="1" t="s">
        <v>16</v>
      </c>
      <c r="BL3" s="1" t="str">
        <f>$BC3</f>
        <v>1700</v>
      </c>
      <c r="BM3" s="1" t="str">
        <f>$AN3</f>
        <v>Пог</v>
      </c>
      <c r="BN3" s="1" t="str">
        <f>$AN3</f>
        <v>Пог</v>
      </c>
      <c r="BO3" s="1" t="str">
        <f>$G3</f>
        <v>2</v>
      </c>
      <c r="BP3" s="1" t="str">
        <f>$F3</f>
        <v>600</v>
      </c>
      <c r="BQ3" s="6">
        <f>($I3-$F3*($G3-1))/2</f>
        <v>277</v>
      </c>
      <c r="BR3" s="6">
        <f>($H3-$F3*($G3-1))/2</f>
        <v>277</v>
      </c>
      <c r="BS3" s="6">
        <f>$F3/2</f>
        <v>300</v>
      </c>
      <c r="BT3" s="1" t="str">
        <f>$C3</f>
        <v>DN80</v>
      </c>
      <c r="BU3" s="1" t="str">
        <f>$C3</f>
        <v>DN80</v>
      </c>
      <c r="BV3" s="1" t="str">
        <f>$C3</f>
        <v>DN80</v>
      </c>
      <c r="BW3" s="1" t="str">
        <f>$C3</f>
        <v>DN80</v>
      </c>
      <c r="BX3" s="1" t="str">
        <f>$C3</f>
        <v>DN80</v>
      </c>
      <c r="BY3" s="1" t="str">
        <f>$C3</f>
        <v>DN80</v>
      </c>
      <c r="BZ3" s="1" t="str">
        <f>$C3</f>
        <v>DN80</v>
      </c>
      <c r="CA3" s="1" t="str">
        <f>$C3</f>
        <v>DN80</v>
      </c>
      <c r="CB3" s="1" t="str">
        <f>$C3</f>
        <v>DN80</v>
      </c>
      <c r="CC3" s="1" t="str">
        <f>$C3</f>
        <v>DN80</v>
      </c>
      <c r="CD3" s="1" t="str">
        <f>$C3</f>
        <v>DN80</v>
      </c>
      <c r="CE3" s="1" t="str">
        <f>$E3</f>
        <v>DN80</v>
      </c>
      <c r="CF3" s="1" t="str">
        <f>$E3</f>
        <v>DN80</v>
      </c>
      <c r="CG3" s="1" t="str">
        <f>$E3</f>
        <v>DN80</v>
      </c>
      <c r="CH3" s="1" t="str">
        <f>$E3</f>
        <v>DN80</v>
      </c>
      <c r="CI3" s="1" t="str">
        <f>$E3</f>
        <v>DN80</v>
      </c>
      <c r="CJ3" s="1" t="str">
        <f>$D3</f>
        <v>DN80</v>
      </c>
      <c r="CK3" s="1" t="str">
        <f>$D3</f>
        <v>DN80</v>
      </c>
      <c r="CL3" s="1" t="str">
        <f>$D3</f>
        <v>DN80</v>
      </c>
      <c r="CM3" s="1" t="str">
        <f>$D3</f>
        <v>DN80</v>
      </c>
      <c r="CN3" s="1" t="str">
        <f>$D3</f>
        <v>DN80</v>
      </c>
      <c r="CO3" s="1" t="str">
        <f>$M3</f>
        <v>Реш</v>
      </c>
      <c r="CP3" s="1" t="str">
        <f>$M3</f>
        <v>Реш</v>
      </c>
      <c r="CQ3" s="6" t="str">
        <f>IF($M3 = "Реш", "Непог", "Пог")</f>
        <v>Непог</v>
      </c>
      <c r="CR3" s="1" t="str">
        <f>$M3</f>
        <v>Реш</v>
      </c>
      <c r="CS3" s="1" t="str">
        <f>$M3</f>
        <v>Реш</v>
      </c>
      <c r="CT3" s="6" t="str">
        <f>IF($M3 = "Реш", "Непог", "Пог")</f>
        <v>Непог</v>
      </c>
      <c r="CU3" s="1" t="str">
        <f>$M3</f>
        <v>Реш</v>
      </c>
      <c r="CV3" s="6" t="str">
        <f>IF($M3 = "Реш", "Непог", "Пог")</f>
        <v>Непог</v>
      </c>
      <c r="CW3" s="1">
        <f>$G3 -1</f>
        <v>1</v>
      </c>
      <c r="CX3" s="1" t="str">
        <f>$F3</f>
        <v>600</v>
      </c>
      <c r="CY3" s="6" t="str">
        <f>IF($L3="Реш", "Непог", "Пог")</f>
        <v>Пог</v>
      </c>
      <c r="CZ3" s="1" t="str">
        <f>$M3</f>
        <v>Реш</v>
      </c>
      <c r="DA3" s="1" t="str">
        <f>$M3</f>
        <v>Реш</v>
      </c>
      <c r="DB3" s="1" t="str">
        <f>$M3</f>
        <v>Реш</v>
      </c>
      <c r="DC3" s="1" t="str">
        <f>$M3</f>
        <v>Реш</v>
      </c>
      <c r="DD3" s="1" t="str">
        <f>$E3</f>
        <v>DN80</v>
      </c>
      <c r="DE3" s="1" t="str">
        <f>$D3</f>
        <v>DN80</v>
      </c>
      <c r="DF3" s="1" t="str">
        <f>$M3</f>
        <v>Реш</v>
      </c>
      <c r="DG3" s="1" t="str">
        <f>$M3</f>
        <v>Реш</v>
      </c>
      <c r="DH3" s="1" t="str">
        <f>$G3</f>
        <v>2</v>
      </c>
      <c r="DI3" s="1" t="str">
        <f>$F3</f>
        <v>600</v>
      </c>
      <c r="DJ3" s="6">
        <f>$F3*($G3-1)</f>
        <v>600</v>
      </c>
      <c r="DK3" s="6">
        <f>$F3*($G3-1)</f>
        <v>600</v>
      </c>
      <c r="DL3" s="6" t="str">
        <f>IF($M3 = "Реш", "Непог", "Пог")</f>
        <v>Непог</v>
      </c>
      <c r="DM3" s="1" t="str">
        <f>$D3</f>
        <v>DN80</v>
      </c>
      <c r="DN3" s="1" t="str">
        <f>$E3</f>
        <v>DN80</v>
      </c>
      <c r="DO3" s="1" t="str">
        <f>$E3</f>
        <v>DN80</v>
      </c>
      <c r="DP3" s="1" t="str">
        <f>$E3</f>
        <v>DN80</v>
      </c>
      <c r="DQ3" s="1" t="str">
        <f>$P3</f>
        <v>Пог</v>
      </c>
      <c r="DR3" s="1" t="str">
        <f>$U3</f>
        <v>Пог</v>
      </c>
      <c r="DS3" s="1" t="str">
        <f>$T3</f>
        <v>Пог</v>
      </c>
      <c r="DT3" s="1" t="str">
        <f>$S3</f>
        <v>Пог</v>
      </c>
      <c r="DU3" s="1" t="str">
        <f>$U3</f>
        <v>Пог</v>
      </c>
      <c r="DV3" s="1" t="str">
        <f>$V3</f>
        <v>Пог</v>
      </c>
      <c r="DW3" s="1" t="str">
        <f>$E3</f>
        <v>DN80</v>
      </c>
      <c r="DX3" s="1" t="str">
        <f>$E3</f>
        <v>DN80</v>
      </c>
      <c r="DY3" s="1" t="str">
        <f>$D3</f>
        <v>DN80</v>
      </c>
      <c r="DZ3" s="1" t="str">
        <f>$D3</f>
        <v>DN80</v>
      </c>
      <c r="EA3" s="1" t="str">
        <f>$BI3</f>
        <v>Пог</v>
      </c>
      <c r="EB3" s="1" t="str">
        <f>$BI3</f>
        <v>Пог</v>
      </c>
      <c r="EC3" s="1" t="str">
        <f>$BI3</f>
        <v>Пог</v>
      </c>
      <c r="ED3" s="1" t="str">
        <f>$BJ3</f>
        <v>Пог</v>
      </c>
      <c r="EE3" s="1" t="str">
        <f>$BI3</f>
        <v>Пог</v>
      </c>
      <c r="EF3" s="1" t="str">
        <f>$BI3</f>
        <v>Пог</v>
      </c>
      <c r="EG3" s="1" t="str">
        <f>$BI3</f>
        <v>Пог</v>
      </c>
      <c r="EH3" s="1" t="str">
        <f>$BI3</f>
        <v>Пог</v>
      </c>
      <c r="EI3" s="1" t="str">
        <f>$BI3</f>
        <v>Пог</v>
      </c>
      <c r="EJ3" s="1" t="str">
        <f>$BI3</f>
        <v>Пог</v>
      </c>
      <c r="EK3" s="1" t="str">
        <f>$BH3</f>
        <v>Пог</v>
      </c>
      <c r="EL3" s="1" t="str">
        <f>$BH3</f>
        <v>Пог</v>
      </c>
      <c r="EM3" s="1" t="str">
        <f>$BH3</f>
        <v>Пог</v>
      </c>
      <c r="EN3" s="6" t="str">
        <f>IF(AND(OR($AC3 = "Реш", $AF3 = "Реш"), $Z3 = "Реш"), "Реш", "Пог")</f>
        <v>Пог</v>
      </c>
      <c r="EO3" s="1" t="str">
        <f>$AC3</f>
        <v>Пог</v>
      </c>
      <c r="EP3" s="1" t="str">
        <f>$AC3</f>
        <v>Пог</v>
      </c>
      <c r="EQ3" s="1" t="str">
        <f>$AE3</f>
        <v>DN32</v>
      </c>
      <c r="ER3" s="6">
        <f>IF($Z3="Реш",($I3-$F3*($G3-1))/2 + 350/2, IF($F3 = 300, 300, 350))</f>
        <v>452</v>
      </c>
      <c r="ES3" s="6">
        <f>IF($Z3="Реш",($I3-$F3*($G3-1))/2 + 350/2, IF($F3 = 300, 300, 350))</f>
        <v>452</v>
      </c>
      <c r="ET3" s="1" t="str">
        <f>$AF3</f>
        <v>Пог</v>
      </c>
      <c r="EU3" s="1" t="str">
        <f>$AF3</f>
        <v>Пог</v>
      </c>
      <c r="EV3" s="1" t="str">
        <f>$AH3</f>
        <v>DN32</v>
      </c>
      <c r="EW3" s="1" t="str">
        <f>$AK3</f>
        <v>Реш</v>
      </c>
      <c r="EX3" s="1" t="str">
        <f>$AK3</f>
        <v>Реш</v>
      </c>
      <c r="EY3" s="1" t="str">
        <f>$AK3</f>
        <v>Реш</v>
      </c>
      <c r="EZ3" s="1" t="str">
        <f>$AK3</f>
        <v>Реш</v>
      </c>
      <c r="FA3" s="6">
        <f>IF(VALUE(LEFT($AL3,FIND("х",$AL3)-1)) &gt; ($H3),VALUE(LEFT($AL3,FIND("х",$AL3)-1))/2, ($H3)/2)</f>
        <v>577</v>
      </c>
      <c r="FB3" s="6">
        <f>IF($Z3="Реш",($I3-$F3*($G3-1))/2,$AA3)</f>
        <v>277</v>
      </c>
      <c r="FC3" s="6" t="str">
        <f>LEFT(AR3,FIND(". ",AR3)-1)</f>
        <v>Установка пожаротушения</v>
      </c>
      <c r="FD3" s="6" t="str">
        <f>RIGHT(AR3,LEN(AR3)-FIND(". ",AR3))</f>
        <v xml:space="preserve"> ANTARUS 2 MLV45-5-2/01/DS2 (ОПЦ "Лидер", КВ0, RS-485, PN16/25)</v>
      </c>
      <c r="FE3" s="6" t="e">
        <f ca="1">(СЦЕП(AW3,"\2D ",AV3))</f>
        <v>#NAME?</v>
      </c>
      <c r="FF3" s="1" t="str">
        <f>$D3</f>
        <v>DN80</v>
      </c>
      <c r="FG3" s="1" t="str">
        <f>$D3</f>
        <v>DN80</v>
      </c>
      <c r="FH3" s="1" t="str">
        <f>$D3</f>
        <v>DN80</v>
      </c>
      <c r="FI3" s="1" t="str">
        <f>$D3</f>
        <v>DN80</v>
      </c>
      <c r="FJ3" s="1" t="str">
        <f>$D3</f>
        <v>DN80</v>
      </c>
      <c r="FK3" s="1" t="str">
        <f>$AX3</f>
        <v>Пог</v>
      </c>
      <c r="FL3" s="1" t="str">
        <f>$AY3</f>
        <v>Пог</v>
      </c>
      <c r="FM3" s="1" t="str">
        <f>$AY3</f>
        <v>Пог</v>
      </c>
      <c r="FN3" s="1" t="str">
        <f>$AY3</f>
        <v>Пог</v>
      </c>
      <c r="FO3" s="1" t="str">
        <f>$AY3</f>
        <v>Пог</v>
      </c>
      <c r="FP3" s="1" t="str">
        <f>$AY3</f>
        <v>Пог</v>
      </c>
      <c r="FQ3" s="1" t="str">
        <f>$AZ3</f>
        <v>Пог</v>
      </c>
      <c r="FR3" s="1" t="str">
        <f>$AZ3</f>
        <v>Пог</v>
      </c>
      <c r="FS3" s="1" t="str">
        <f>$AZ3</f>
        <v>Пог</v>
      </c>
      <c r="FT3" s="6" t="str">
        <f>IF($AZ3="Пог", "Пог", "Непог")</f>
        <v>Пог</v>
      </c>
      <c r="FU3" s="1" t="str">
        <f>$F3</f>
        <v>600</v>
      </c>
      <c r="FV3" s="1" t="str">
        <f>$E3</f>
        <v>DN80</v>
      </c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</row>
    <row r="4" spans="1:194" x14ac:dyDescent="0.25">
      <c r="A4" s="1" t="s">
        <v>3</v>
      </c>
      <c r="B4" s="1" t="s">
        <v>6</v>
      </c>
      <c r="C4" s="1" t="s">
        <v>9</v>
      </c>
      <c r="D4" s="1" t="s">
        <v>9</v>
      </c>
      <c r="E4" s="1" t="s">
        <v>9</v>
      </c>
      <c r="F4" s="1" t="s">
        <v>14</v>
      </c>
      <c r="G4" s="1" t="s">
        <v>16</v>
      </c>
      <c r="H4" s="1" t="s">
        <v>19</v>
      </c>
      <c r="I4" s="1" t="s">
        <v>19</v>
      </c>
      <c r="J4" s="1" t="s">
        <v>23</v>
      </c>
      <c r="K4" s="1" t="s">
        <v>26</v>
      </c>
      <c r="L4" s="1" t="s">
        <v>28</v>
      </c>
      <c r="M4" s="1" t="s">
        <v>30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41</v>
      </c>
      <c r="X4" s="1" t="s">
        <v>28</v>
      </c>
      <c r="Y4" s="1" t="s">
        <v>41</v>
      </c>
      <c r="Z4" s="1" t="s">
        <v>30</v>
      </c>
      <c r="AA4" s="1" t="s">
        <v>47</v>
      </c>
      <c r="AB4" s="1" t="s">
        <v>14</v>
      </c>
      <c r="AC4" s="1" t="s">
        <v>30</v>
      </c>
      <c r="AD4" s="1" t="s">
        <v>53</v>
      </c>
      <c r="AE4" s="1" t="s">
        <v>56</v>
      </c>
      <c r="AF4" s="1" t="s">
        <v>28</v>
      </c>
      <c r="AG4" s="1" t="s">
        <v>60</v>
      </c>
      <c r="AH4" s="1" t="s">
        <v>56</v>
      </c>
      <c r="AI4" s="1" t="s">
        <v>30</v>
      </c>
      <c r="AJ4" s="1" t="s">
        <v>64</v>
      </c>
      <c r="AK4" s="1" t="s">
        <v>30</v>
      </c>
      <c r="AL4" s="1" t="s">
        <v>68</v>
      </c>
      <c r="AM4" s="1" t="s">
        <v>30</v>
      </c>
      <c r="AN4" s="1" t="s">
        <v>30</v>
      </c>
      <c r="AO4" s="1" t="s">
        <v>73</v>
      </c>
      <c r="AP4" s="1" t="s">
        <v>76</v>
      </c>
      <c r="AQ4" s="1" t="s">
        <v>79</v>
      </c>
      <c r="AR4" s="1" t="s">
        <v>82</v>
      </c>
      <c r="AS4" s="1" t="s">
        <v>16</v>
      </c>
      <c r="AT4" s="1" t="s">
        <v>16</v>
      </c>
      <c r="AU4" s="1" t="s">
        <v>87</v>
      </c>
      <c r="AV4" s="1" t="s">
        <v>90</v>
      </c>
      <c r="AW4" s="1" t="s">
        <v>93</v>
      </c>
      <c r="AX4" s="1" t="s">
        <v>28</v>
      </c>
      <c r="AY4" s="1" t="s">
        <v>28</v>
      </c>
      <c r="AZ4" s="1" t="s">
        <v>28</v>
      </c>
      <c r="BA4" s="1" t="s">
        <v>98</v>
      </c>
      <c r="BB4" s="1" t="s">
        <v>16</v>
      </c>
      <c r="BC4" s="1" t="s">
        <v>102</v>
      </c>
      <c r="BD4" s="1" t="s">
        <v>105</v>
      </c>
      <c r="BE4" s="1" t="s">
        <v>105</v>
      </c>
      <c r="BF4" s="1" t="s">
        <v>109</v>
      </c>
      <c r="BG4" s="1" t="s">
        <v>109</v>
      </c>
      <c r="BH4" s="1" t="s">
        <v>28</v>
      </c>
      <c r="BI4" s="1" t="s">
        <v>30</v>
      </c>
      <c r="BJ4" s="1" t="s">
        <v>114</v>
      </c>
      <c r="BK4" s="1" t="s">
        <v>16</v>
      </c>
      <c r="BL4" s="1" t="s">
        <v>102</v>
      </c>
      <c r="BM4" s="1" t="s">
        <v>30</v>
      </c>
      <c r="BN4" s="1" t="s">
        <v>30</v>
      </c>
      <c r="BO4" s="1" t="s">
        <v>16</v>
      </c>
      <c r="BP4" s="1" t="s">
        <v>14</v>
      </c>
      <c r="BQ4" s="1" t="s">
        <v>23</v>
      </c>
      <c r="BR4" s="1" t="s">
        <v>23</v>
      </c>
      <c r="BS4" s="1" t="s">
        <v>124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9</v>
      </c>
      <c r="CD4" s="1" t="s">
        <v>9</v>
      </c>
      <c r="CE4" s="1" t="s">
        <v>9</v>
      </c>
      <c r="CF4" s="1" t="s">
        <v>9</v>
      </c>
      <c r="CG4" s="1" t="s">
        <v>9</v>
      </c>
      <c r="CH4" s="1" t="s">
        <v>9</v>
      </c>
      <c r="CI4" s="1" t="s">
        <v>9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30</v>
      </c>
      <c r="CP4" s="1" t="s">
        <v>30</v>
      </c>
      <c r="CQ4" s="1" t="s">
        <v>114</v>
      </c>
      <c r="CR4" s="1" t="s">
        <v>30</v>
      </c>
      <c r="CS4" s="1" t="s">
        <v>30</v>
      </c>
      <c r="CT4" s="1" t="s">
        <v>114</v>
      </c>
      <c r="CU4" s="1" t="s">
        <v>30</v>
      </c>
      <c r="CV4" s="1" t="s">
        <v>114</v>
      </c>
      <c r="CW4" s="1" t="s">
        <v>153</v>
      </c>
      <c r="CX4" s="1" t="s">
        <v>14</v>
      </c>
      <c r="CY4" s="1" t="s">
        <v>28</v>
      </c>
      <c r="CZ4" s="1" t="s">
        <v>30</v>
      </c>
      <c r="DA4" s="1" t="s">
        <v>30</v>
      </c>
      <c r="DB4" s="1" t="s">
        <v>30</v>
      </c>
      <c r="DC4" s="1" t="s">
        <v>30</v>
      </c>
      <c r="DD4" s="1" t="s">
        <v>9</v>
      </c>
      <c r="DE4" s="1" t="s">
        <v>9</v>
      </c>
      <c r="DF4" s="1" t="s">
        <v>30</v>
      </c>
      <c r="DG4" s="1" t="s">
        <v>30</v>
      </c>
      <c r="DH4" s="1" t="s">
        <v>16</v>
      </c>
      <c r="DI4" s="1" t="s">
        <v>14</v>
      </c>
      <c r="DJ4" s="1" t="s">
        <v>14</v>
      </c>
      <c r="DK4" s="1" t="s">
        <v>14</v>
      </c>
      <c r="DL4" s="1" t="s">
        <v>114</v>
      </c>
      <c r="DM4" s="1" t="s">
        <v>9</v>
      </c>
      <c r="DN4" s="1" t="s">
        <v>9</v>
      </c>
      <c r="DO4" s="1" t="s">
        <v>9</v>
      </c>
      <c r="DP4" s="1" t="s">
        <v>9</v>
      </c>
      <c r="DQ4" s="1" t="s">
        <v>28</v>
      </c>
      <c r="DR4" s="1" t="s">
        <v>28</v>
      </c>
      <c r="DS4" s="1" t="s">
        <v>28</v>
      </c>
      <c r="DT4" s="1" t="s">
        <v>28</v>
      </c>
      <c r="DU4" s="1" t="s">
        <v>28</v>
      </c>
      <c r="DV4" s="1" t="s">
        <v>28</v>
      </c>
      <c r="DW4" s="1" t="s">
        <v>9</v>
      </c>
      <c r="DX4" s="1" t="s">
        <v>9</v>
      </c>
      <c r="DY4" s="1" t="s">
        <v>9</v>
      </c>
      <c r="DZ4" s="1" t="s">
        <v>9</v>
      </c>
      <c r="EA4" s="1" t="s">
        <v>30</v>
      </c>
      <c r="EB4" s="1" t="s">
        <v>30</v>
      </c>
      <c r="EC4" s="1" t="s">
        <v>30</v>
      </c>
      <c r="ED4" s="1" t="s">
        <v>114</v>
      </c>
      <c r="EE4" s="1" t="s">
        <v>30</v>
      </c>
      <c r="EF4" s="1" t="s">
        <v>30</v>
      </c>
      <c r="EG4" s="1" t="s">
        <v>30</v>
      </c>
      <c r="EH4" s="1" t="s">
        <v>30</v>
      </c>
      <c r="EI4" s="1" t="s">
        <v>30</v>
      </c>
      <c r="EJ4" s="1" t="s">
        <v>30</v>
      </c>
      <c r="EK4" s="1" t="s">
        <v>28</v>
      </c>
      <c r="EL4" s="1" t="s">
        <v>28</v>
      </c>
      <c r="EM4" s="1" t="s">
        <v>28</v>
      </c>
      <c r="EN4" s="1" t="s">
        <v>30</v>
      </c>
      <c r="EO4" s="1" t="s">
        <v>30</v>
      </c>
      <c r="EP4" s="1" t="s">
        <v>30</v>
      </c>
      <c r="EQ4" s="1" t="s">
        <v>56</v>
      </c>
      <c r="ER4" s="1" t="s">
        <v>201</v>
      </c>
      <c r="ES4" s="1" t="s">
        <v>201</v>
      </c>
      <c r="ET4" s="1" t="s">
        <v>28</v>
      </c>
      <c r="EU4" s="1" t="s">
        <v>28</v>
      </c>
      <c r="EV4" s="1" t="s">
        <v>56</v>
      </c>
      <c r="EW4" s="1" t="s">
        <v>30</v>
      </c>
      <c r="EX4" s="1" t="s">
        <v>30</v>
      </c>
      <c r="EY4" s="1" t="s">
        <v>30</v>
      </c>
      <c r="EZ4" s="1" t="s">
        <v>30</v>
      </c>
      <c r="FA4" s="1" t="s">
        <v>211</v>
      </c>
      <c r="FB4" s="1" t="s">
        <v>23</v>
      </c>
      <c r="FC4" s="1" t="s">
        <v>214</v>
      </c>
      <c r="FD4" s="1" t="s">
        <v>216</v>
      </c>
      <c r="FE4" s="1" t="s">
        <v>93</v>
      </c>
      <c r="FF4" s="1" t="s">
        <v>9</v>
      </c>
      <c r="FG4" s="1" t="s">
        <v>9</v>
      </c>
      <c r="FH4" s="1" t="s">
        <v>9</v>
      </c>
      <c r="FI4" s="1" t="s">
        <v>9</v>
      </c>
      <c r="FJ4" s="1" t="s">
        <v>9</v>
      </c>
      <c r="FK4" s="1" t="s">
        <v>28</v>
      </c>
      <c r="FL4" s="1" t="s">
        <v>28</v>
      </c>
      <c r="FM4" s="1" t="s">
        <v>28</v>
      </c>
      <c r="FN4" s="1" t="s">
        <v>28</v>
      </c>
      <c r="FO4" s="1" t="s">
        <v>28</v>
      </c>
      <c r="FP4" s="1" t="s">
        <v>28</v>
      </c>
      <c r="FQ4" s="1" t="s">
        <v>28</v>
      </c>
      <c r="FR4" s="1" t="s">
        <v>28</v>
      </c>
      <c r="FS4" s="1" t="s">
        <v>28</v>
      </c>
      <c r="FT4" s="1" t="s">
        <v>28</v>
      </c>
      <c r="FU4" s="1" t="s">
        <v>14</v>
      </c>
      <c r="FV4" s="1" t="s">
        <v>9</v>
      </c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Мишанков Максим</dc:creator>
  <cp:lastModifiedBy>Цай Роман</cp:lastModifiedBy>
  <dcterms:created xsi:type="dcterms:W3CDTF">2025-03-03T07:29:24Z</dcterms:created>
  <dcterms:modified xsi:type="dcterms:W3CDTF">2026-06-23T14:12:58Z</dcterms:modified>
</cp:coreProperties>
</file>